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eyk\projects\chpl-api\chpl\chpl-resources\src\main\resources\"/>
    </mc:Choice>
  </mc:AlternateContent>
  <xr:revisionPtr revIDLastSave="0" documentId="13_ncr:1_{87AF3B31-305E-41BD-9CDE-42FE1147AF4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9" r:id="rId1"/>
    <sheet name="Criteria Up-To-Date Chart" sheetId="1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9" l="1"/>
  <c r="F4" i="9"/>
  <c r="F5" i="9"/>
  <c r="F6" i="9"/>
  <c r="F7" i="9"/>
  <c r="F8" i="9"/>
  <c r="F9" i="9"/>
  <c r="F10" i="9"/>
  <c r="F11" i="9"/>
  <c r="F12" i="9"/>
  <c r="F13" i="9"/>
  <c r="F15" i="9"/>
  <c r="F16" i="9"/>
  <c r="F17" i="9"/>
  <c r="F2" i="9"/>
  <c r="E3" i="9"/>
  <c r="E4" i="9"/>
  <c r="E5" i="9"/>
  <c r="E6" i="9"/>
  <c r="E7" i="9"/>
  <c r="E8" i="9"/>
  <c r="E9" i="9"/>
  <c r="E10" i="9"/>
  <c r="E11" i="9"/>
  <c r="E12" i="9"/>
  <c r="E13" i="9"/>
  <c r="E15" i="9"/>
  <c r="E16" i="9"/>
  <c r="E17" i="9"/>
  <c r="E2" i="9"/>
  <c r="D17" i="9" l="1"/>
  <c r="D16" i="9"/>
  <c r="D15" i="9"/>
  <c r="D2" i="9"/>
  <c r="D3" i="9"/>
  <c r="D4" i="9"/>
  <c r="D6" i="9"/>
  <c r="D7" i="9"/>
  <c r="D8" i="9"/>
  <c r="D9" i="9"/>
  <c r="D10" i="9"/>
  <c r="D11" i="9"/>
  <c r="D12" i="9"/>
  <c r="D13" i="9"/>
  <c r="D14" i="9"/>
  <c r="D5" i="9"/>
  <c r="F14" i="9" l="1"/>
  <c r="E1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D0F69B-9A81-4F6F-AA6F-12936567A5FD}" keepAlive="1" name="Query - criteria-upgraded-to-cures-report-20210630-8153792412307523103" description="Connection to the 'criteria-upgraded-to-cures-report-20210630-8153792412307523103' query in the workbook." type="5" refreshedVersion="7" background="1" saveData="1">
    <dbPr connection="Provider=Microsoft.Mashup.OleDb.1;Data Source=$Workbook$;Location=criteria-upgraded-to-cures-report-20210630-8153792412307523103;Extended Properties=&quot;&quot;" command="SELECT * FROM [criteria-upgraded-to-cures-report-20210630-8153792412307523103]"/>
  </connection>
  <connection id="2" xr16:uid="{045347BA-44BC-4473-93F4-945CFB804903}" keepAlive="1" name="Query - criteria-upgraded-without-original-report-20210630-1734074320371660430" description="Connection to the 'criteria-upgraded-without-original-report-20210630-1734074320371660430' query in the workbook." type="5" refreshedVersion="7" background="1" saveData="1">
    <dbPr connection="Provider=Microsoft.Mashup.OleDb.1;Data Source=$Workbook$;Location=criteria-upgraded-without-original-report-20210630-1734074320371660430;Extended Properties=&quot;&quot;" command="SELECT * FROM [criteria-upgraded-without-original-report-20210630-1734074320371660430]"/>
  </connection>
  <connection id="3" xr16:uid="{62A59294-E4C2-4388-83CC-871F62BA8766}" keepAlive="1" name="Query - listings-to-criteria-needed-for-cures-20210630-4618444862428794593" description="Connection to the 'listings-to-criteria-needed-for-cures-20210630-4618444862428794593' query in the workbook." type="5" refreshedVersion="7" background="1" saveData="1">
    <dbPr connection="Provider=Microsoft.Mashup.OleDb.1;Data Source=$Workbook$;Location=listings-to-criteria-needed-for-cures-20210630-4618444862428794593;Extended Properties=&quot;&quot;" command="SELECT * FROM [listings-to-criteria-needed-for-cures-20210630-4618444862428794593]"/>
  </connection>
  <connection id="4" xr16:uid="{A2BCC043-5CA3-4DC9-B7BC-3478D3018026}" keepAlive="1" name="Query - listings-with-criteria-report-20210630-5842867607243088781" description="Connection to the 'listings-with-criteria-report-20210630-5842867607243088781' query in the workbook." type="5" refreshedVersion="7" background="1" saveData="1">
    <dbPr connection="Provider=Microsoft.Mashup.OleDb.1;Data Source=$Workbook$;Location=listings-with-criteria-report-20210630-5842867607243088781;Extended Properties=&quot;&quot;" command="SELECT * FROM [listings-with-criteria-report-20210630-5842867607243088781]"/>
  </connection>
</connections>
</file>

<file path=xl/sharedStrings.xml><?xml version="1.0" encoding="utf-8"?>
<sst xmlns="http://schemas.openxmlformats.org/spreadsheetml/2006/main" count="22" uniqueCount="22">
  <si>
    <t>Criteria</t>
  </si>
  <si>
    <t>Requires Update</t>
  </si>
  <si>
    <t>b1</t>
  </si>
  <si>
    <t>b2</t>
  </si>
  <si>
    <t>b3</t>
  </si>
  <si>
    <t>b9</t>
  </si>
  <si>
    <t>e1</t>
  </si>
  <si>
    <t>f5</t>
  </si>
  <si>
    <t>g6</t>
  </si>
  <si>
    <t>g9</t>
  </si>
  <si>
    <t>g10</t>
  </si>
  <si>
    <t>Total Listings Certifying</t>
  </si>
  <si>
    <t>Fully Up-To-Date</t>
  </si>
  <si>
    <t>a5</t>
  </si>
  <si>
    <t>a12</t>
  </si>
  <si>
    <t>a15</t>
  </si>
  <si>
    <t>c4</t>
  </si>
  <si>
    <t>f1</t>
  </si>
  <si>
    <t>f3</t>
  </si>
  <si>
    <t>f4</t>
  </si>
  <si>
    <t>% Updated</t>
  </si>
  <si>
    <t>%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</si>
</sst>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Cures Update Criteria</a:t>
            </a:r>
          </a:p>
          <a:p>
            <a:pPr>
              <a:defRPr/>
            </a:pPr>
            <a:r>
              <a:rPr lang="en-US" sz="1400" b="0" i="0" u="none" strike="noStrike" baseline="0">
                <a:effectLst/>
              </a:rPr>
              <a:t>{{date}}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Requires Update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cat>
            <c:strRef>
              <c:f>Data!$A$2:$A$17</c:f>
              <c:strCache>
                <c:ptCount val="16"/>
                <c:pt idx="0">
                  <c:v>a5</c:v>
                </c:pt>
                <c:pt idx="1">
                  <c:v>a12</c:v>
                </c:pt>
                <c:pt idx="2">
                  <c:v>a15</c:v>
                </c:pt>
                <c:pt idx="3">
                  <c:v>b1</c:v>
                </c:pt>
                <c:pt idx="4">
                  <c:v>b2</c:v>
                </c:pt>
                <c:pt idx="5">
                  <c:v>b3</c:v>
                </c:pt>
                <c:pt idx="6">
                  <c:v>b9</c:v>
                </c:pt>
                <c:pt idx="7">
                  <c:v>c4</c:v>
                </c:pt>
                <c:pt idx="8">
                  <c:v>e1</c:v>
                </c:pt>
                <c:pt idx="9">
                  <c:v>f1</c:v>
                </c:pt>
                <c:pt idx="10">
                  <c:v>f3</c:v>
                </c:pt>
                <c:pt idx="11">
                  <c:v>f4</c:v>
                </c:pt>
                <c:pt idx="12">
                  <c:v>f5</c:v>
                </c:pt>
                <c:pt idx="13">
                  <c:v>g6</c:v>
                </c:pt>
                <c:pt idx="14">
                  <c:v>g9</c:v>
                </c:pt>
                <c:pt idx="15">
                  <c:v>g10</c:v>
                </c:pt>
              </c:strCache>
            </c:strRef>
          </c:cat>
          <c:val>
            <c:numRef>
              <c:f>Data!$B$2:$B$17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546</c:v>
                </c:pt>
                <c:pt idx="4">
                  <c:v>0</c:v>
                </c:pt>
                <c:pt idx="5">
                  <c:v>428</c:v>
                </c:pt>
                <c:pt idx="6">
                  <c:v>0</c:v>
                </c:pt>
                <c:pt idx="7">
                  <c:v>0</c:v>
                </c:pt>
                <c:pt idx="8">
                  <c:v>499</c:v>
                </c:pt>
                <c:pt idx="9">
                  <c:v>80</c:v>
                </c:pt>
                <c:pt idx="10">
                  <c:v>637</c:v>
                </c:pt>
                <c:pt idx="11">
                  <c:v>0</c:v>
                </c:pt>
                <c:pt idx="12">
                  <c:v>536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CC-4953-834A-38AF70169156}"/>
            </c:ext>
          </c:extLst>
        </c:ser>
        <c:ser>
          <c:idx val="2"/>
          <c:order val="1"/>
          <c:tx>
            <c:strRef>
              <c:f>Data!$C$1</c:f>
              <c:strCache>
                <c:ptCount val="1"/>
                <c:pt idx="0">
                  <c:v>Fully Up-To-Date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Data!$A$2:$A$17</c:f>
              <c:strCache>
                <c:ptCount val="16"/>
                <c:pt idx="0">
                  <c:v>a5</c:v>
                </c:pt>
                <c:pt idx="1">
                  <c:v>a12</c:v>
                </c:pt>
                <c:pt idx="2">
                  <c:v>a15</c:v>
                </c:pt>
                <c:pt idx="3">
                  <c:v>b1</c:v>
                </c:pt>
                <c:pt idx="4">
                  <c:v>b2</c:v>
                </c:pt>
                <c:pt idx="5">
                  <c:v>b3</c:v>
                </c:pt>
                <c:pt idx="6">
                  <c:v>b9</c:v>
                </c:pt>
                <c:pt idx="7">
                  <c:v>c4</c:v>
                </c:pt>
                <c:pt idx="8">
                  <c:v>e1</c:v>
                </c:pt>
                <c:pt idx="9">
                  <c:v>f1</c:v>
                </c:pt>
                <c:pt idx="10">
                  <c:v>f3</c:v>
                </c:pt>
                <c:pt idx="11">
                  <c:v>f4</c:v>
                </c:pt>
                <c:pt idx="12">
                  <c:v>f5</c:v>
                </c:pt>
                <c:pt idx="13">
                  <c:v>g6</c:v>
                </c:pt>
                <c:pt idx="14">
                  <c:v>g9</c:v>
                </c:pt>
                <c:pt idx="15">
                  <c:v>g10</c:v>
                </c:pt>
              </c:strCache>
            </c:strRef>
          </c:cat>
          <c:val>
            <c:numRef>
              <c:f>Data!$C$2:$C$17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0</c:v>
                </c:pt>
                <c:pt idx="4">
                  <c:v>527</c:v>
                </c:pt>
                <c:pt idx="5">
                  <c:v>0</c:v>
                </c:pt>
                <c:pt idx="6">
                  <c:v>78</c:v>
                </c:pt>
                <c:pt idx="7">
                  <c:v>500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400</c:v>
                </c:pt>
                <c:pt idx="12">
                  <c:v>12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60-4B76-9AA3-F9FD5D283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13162576"/>
        <c:axId val="1013162992"/>
      </c:barChart>
      <c:lineChart>
        <c:grouping val="standard"/>
        <c:varyColors val="0"/>
        <c:ser>
          <c:idx val="1"/>
          <c:order val="2"/>
          <c:tx>
            <c:strRef>
              <c:f>Data!$E$1</c:f>
              <c:strCache>
                <c:ptCount val="1"/>
                <c:pt idx="0">
                  <c:v>% Updated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Data!$A$2:$A$17</c:f>
              <c:strCache>
                <c:ptCount val="16"/>
                <c:pt idx="0">
                  <c:v>a5</c:v>
                </c:pt>
                <c:pt idx="1">
                  <c:v>a12</c:v>
                </c:pt>
                <c:pt idx="2">
                  <c:v>a15</c:v>
                </c:pt>
                <c:pt idx="3">
                  <c:v>b1</c:v>
                </c:pt>
                <c:pt idx="4">
                  <c:v>b2</c:v>
                </c:pt>
                <c:pt idx="5">
                  <c:v>b3</c:v>
                </c:pt>
                <c:pt idx="6">
                  <c:v>b9</c:v>
                </c:pt>
                <c:pt idx="7">
                  <c:v>c4</c:v>
                </c:pt>
                <c:pt idx="8">
                  <c:v>e1</c:v>
                </c:pt>
                <c:pt idx="9">
                  <c:v>f1</c:v>
                </c:pt>
                <c:pt idx="10">
                  <c:v>f3</c:v>
                </c:pt>
                <c:pt idx="11">
                  <c:v>f4</c:v>
                </c:pt>
                <c:pt idx="12">
                  <c:v>f5</c:v>
                </c:pt>
                <c:pt idx="13">
                  <c:v>g6</c:v>
                </c:pt>
                <c:pt idx="14">
                  <c:v>g9</c:v>
                </c:pt>
                <c:pt idx="15">
                  <c:v>g10</c:v>
                </c:pt>
              </c:strCache>
            </c:strRef>
          </c:cat>
          <c:val>
            <c:numRef>
              <c:f>Data!$E$2:$E$17</c:f>
              <c:numCache>
                <c:formatCode>0.00%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2.1897810218978103E-2</c:v>
                </c:pt>
                <c:pt idx="13">
                  <c:v>0.33333333333333331</c:v>
                </c:pt>
                <c:pt idx="14">
                  <c:v>0.33333333333333331</c:v>
                </c:pt>
                <c:pt idx="1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E-4E75-BD2E-F96F5F7B0366}"/>
            </c:ext>
          </c:extLst>
        </c:ser>
        <c:ser>
          <c:idx val="3"/>
          <c:order val="3"/>
          <c:tx>
            <c:strRef>
              <c:f>Data!$F$1</c:f>
              <c:strCache>
                <c:ptCount val="1"/>
                <c:pt idx="0">
                  <c:v>% Remaining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Data!$A$2:$A$17</c:f>
              <c:strCache>
                <c:ptCount val="16"/>
                <c:pt idx="0">
                  <c:v>a5</c:v>
                </c:pt>
                <c:pt idx="1">
                  <c:v>a12</c:v>
                </c:pt>
                <c:pt idx="2">
                  <c:v>a15</c:v>
                </c:pt>
                <c:pt idx="3">
                  <c:v>b1</c:v>
                </c:pt>
                <c:pt idx="4">
                  <c:v>b2</c:v>
                </c:pt>
                <c:pt idx="5">
                  <c:v>b3</c:v>
                </c:pt>
                <c:pt idx="6">
                  <c:v>b9</c:v>
                </c:pt>
                <c:pt idx="7">
                  <c:v>c4</c:v>
                </c:pt>
                <c:pt idx="8">
                  <c:v>e1</c:v>
                </c:pt>
                <c:pt idx="9">
                  <c:v>f1</c:v>
                </c:pt>
                <c:pt idx="10">
                  <c:v>f3</c:v>
                </c:pt>
                <c:pt idx="11">
                  <c:v>f4</c:v>
                </c:pt>
                <c:pt idx="12">
                  <c:v>f5</c:v>
                </c:pt>
                <c:pt idx="13">
                  <c:v>g6</c:v>
                </c:pt>
                <c:pt idx="14">
                  <c:v>g9</c:v>
                </c:pt>
                <c:pt idx="15">
                  <c:v>g10</c:v>
                </c:pt>
              </c:strCache>
            </c:strRef>
          </c:cat>
          <c:val>
            <c:numRef>
              <c:f>Data!$F$2:$F$17</c:f>
              <c:numCache>
                <c:formatCode>0.00%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0.97810218978102192</c:v>
                </c:pt>
                <c:pt idx="13">
                  <c:v>0.66666666666666663</c:v>
                </c:pt>
                <c:pt idx="14">
                  <c:v>0.66666666666666663</c:v>
                </c:pt>
                <c:pt idx="15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2E-4E75-BD2E-F96F5F7B0366}"/>
            </c:ext>
          </c:extLst>
        </c:ser>
        <c:ser>
          <c:idx val="4"/>
          <c:order val="4"/>
          <c:tx>
            <c:strRef>
              <c:f>Data!$D$1</c:f>
              <c:strCache>
                <c:ptCount val="1"/>
                <c:pt idx="0">
                  <c:v>Total Listings Certifying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Data!$A$2:$A$17</c:f>
              <c:strCache>
                <c:ptCount val="16"/>
                <c:pt idx="0">
                  <c:v>a5</c:v>
                </c:pt>
                <c:pt idx="1">
                  <c:v>a12</c:v>
                </c:pt>
                <c:pt idx="2">
                  <c:v>a15</c:v>
                </c:pt>
                <c:pt idx="3">
                  <c:v>b1</c:v>
                </c:pt>
                <c:pt idx="4">
                  <c:v>b2</c:v>
                </c:pt>
                <c:pt idx="5">
                  <c:v>b3</c:v>
                </c:pt>
                <c:pt idx="6">
                  <c:v>b9</c:v>
                </c:pt>
                <c:pt idx="7">
                  <c:v>c4</c:v>
                </c:pt>
                <c:pt idx="8">
                  <c:v>e1</c:v>
                </c:pt>
                <c:pt idx="9">
                  <c:v>f1</c:v>
                </c:pt>
                <c:pt idx="10">
                  <c:v>f3</c:v>
                </c:pt>
                <c:pt idx="11">
                  <c:v>f4</c:v>
                </c:pt>
                <c:pt idx="12">
                  <c:v>f5</c:v>
                </c:pt>
                <c:pt idx="13">
                  <c:v>g6</c:v>
                </c:pt>
                <c:pt idx="14">
                  <c:v>g9</c:v>
                </c:pt>
                <c:pt idx="15">
                  <c:v>g10</c:v>
                </c:pt>
              </c:strCache>
            </c:strRef>
          </c:cat>
          <c:val>
            <c:numRef>
              <c:f>Data!$D$2:$D$17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546</c:v>
                </c:pt>
                <c:pt idx="4">
                  <c:v>527</c:v>
                </c:pt>
                <c:pt idx="5">
                  <c:v>428</c:v>
                </c:pt>
                <c:pt idx="6">
                  <c:v>78</c:v>
                </c:pt>
                <c:pt idx="7">
                  <c:v>500</c:v>
                </c:pt>
                <c:pt idx="8">
                  <c:v>499</c:v>
                </c:pt>
                <c:pt idx="9">
                  <c:v>80</c:v>
                </c:pt>
                <c:pt idx="10">
                  <c:v>637</c:v>
                </c:pt>
                <c:pt idx="11">
                  <c:v>400</c:v>
                </c:pt>
                <c:pt idx="12">
                  <c:v>548</c:v>
                </c:pt>
                <c:pt idx="13">
                  <c:v>150</c:v>
                </c:pt>
                <c:pt idx="14">
                  <c:v>150</c:v>
                </c:pt>
                <c:pt idx="15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C60-4B76-9AA3-F9FD5D283A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162576"/>
        <c:axId val="1013162992"/>
      </c:lineChart>
      <c:catAx>
        <c:axId val="101316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62992"/>
        <c:crosses val="autoZero"/>
        <c:auto val="1"/>
        <c:lblAlgn val="ctr"/>
        <c:lblOffset val="100"/>
        <c:noMultiLvlLbl val="0"/>
      </c:catAx>
      <c:valAx>
        <c:axId val="1013162992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162576"/>
        <c:crossesAt val="1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19051</xdr:rowOff>
    </xdr:from>
    <xdr:to>
      <xdr:col>15</xdr:col>
      <xdr:colOff>601980</xdr:colOff>
      <xdr:row>25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449B2D-6FD5-4439-9561-B1BC46426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ACB4-2C38-409F-952B-D8F0F42049CF}">
  <dimension ref="A1:F17"/>
  <sheetViews>
    <sheetView zoomScaleNormal="100" workbookViewId="0">
      <selection activeCell="A17" sqref="A17"/>
    </sheetView>
  </sheetViews>
  <sheetFormatPr defaultRowHeight="14.4" x14ac:dyDescent="0.3"/>
  <cols>
    <col min="1" max="1" width="7.33203125" bestFit="1" customWidth="1"/>
    <col min="2" max="3" width="33.33203125" customWidth="1"/>
    <col min="4" max="4" width="20.88671875" customWidth="1"/>
    <col min="5" max="5" width="12.21875" customWidth="1"/>
    <col min="6" max="6" width="13" customWidth="1"/>
  </cols>
  <sheetData>
    <row r="1" spans="1:6" x14ac:dyDescent="0.3">
      <c r="A1" s="1" t="s">
        <v>0</v>
      </c>
      <c r="B1" t="s">
        <v>1</v>
      </c>
      <c r="C1" t="s">
        <v>12</v>
      </c>
      <c r="D1" t="s">
        <v>11</v>
      </c>
      <c r="E1" t="s">
        <v>20</v>
      </c>
      <c r="F1" t="s">
        <v>21</v>
      </c>
    </row>
    <row r="2" spans="1:6" x14ac:dyDescent="0.3">
      <c r="A2" s="1" t="s">
        <v>13</v>
      </c>
      <c r="B2">
        <v>0</v>
      </c>
      <c r="C2">
        <v>100</v>
      </c>
      <c r="D2">
        <f t="shared" ref="D2:D4" si="0">B2+C2</f>
        <v>100</v>
      </c>
      <c r="E2" s="2">
        <f>(C2/D2)</f>
        <v>1</v>
      </c>
      <c r="F2" s="2">
        <f>B2/D2</f>
        <v>0</v>
      </c>
    </row>
    <row r="3" spans="1:6" x14ac:dyDescent="0.3">
      <c r="A3" s="1" t="s">
        <v>14</v>
      </c>
      <c r="B3">
        <v>0</v>
      </c>
      <c r="C3">
        <v>100</v>
      </c>
      <c r="D3">
        <f t="shared" si="0"/>
        <v>100</v>
      </c>
      <c r="E3" s="2">
        <f t="shared" ref="E3:E17" si="1">(C3/D3)</f>
        <v>1</v>
      </c>
      <c r="F3" s="2">
        <f t="shared" ref="F3:F17" si="2">B3/D3</f>
        <v>0</v>
      </c>
    </row>
    <row r="4" spans="1:6" x14ac:dyDescent="0.3">
      <c r="A4" s="1" t="s">
        <v>15</v>
      </c>
      <c r="B4">
        <v>0</v>
      </c>
      <c r="C4">
        <v>100</v>
      </c>
      <c r="D4">
        <f t="shared" si="0"/>
        <v>100</v>
      </c>
      <c r="E4" s="2">
        <f t="shared" si="1"/>
        <v>1</v>
      </c>
      <c r="F4" s="2">
        <f t="shared" si="2"/>
        <v>0</v>
      </c>
    </row>
    <row r="5" spans="1:6" x14ac:dyDescent="0.3">
      <c r="A5" s="1" t="s">
        <v>2</v>
      </c>
      <c r="B5">
        <v>546</v>
      </c>
      <c r="C5">
        <v>0</v>
      </c>
      <c r="D5">
        <f>B5+C5</f>
        <v>546</v>
      </c>
      <c r="E5" s="2">
        <f t="shared" si="1"/>
        <v>0</v>
      </c>
      <c r="F5" s="2">
        <f t="shared" si="2"/>
        <v>1</v>
      </c>
    </row>
    <row r="6" spans="1:6" x14ac:dyDescent="0.3">
      <c r="A6" s="1" t="s">
        <v>3</v>
      </c>
      <c r="B6">
        <v>0</v>
      </c>
      <c r="C6">
        <v>527</v>
      </c>
      <c r="D6">
        <f t="shared" ref="D6:D17" si="3">B6+C6</f>
        <v>527</v>
      </c>
      <c r="E6" s="2">
        <f t="shared" si="1"/>
        <v>1</v>
      </c>
      <c r="F6" s="2">
        <f t="shared" si="2"/>
        <v>0</v>
      </c>
    </row>
    <row r="7" spans="1:6" x14ac:dyDescent="0.3">
      <c r="A7" s="1" t="s">
        <v>4</v>
      </c>
      <c r="B7">
        <v>428</v>
      </c>
      <c r="C7">
        <v>0</v>
      </c>
      <c r="D7">
        <f t="shared" si="3"/>
        <v>428</v>
      </c>
      <c r="E7" s="2">
        <f t="shared" si="1"/>
        <v>0</v>
      </c>
      <c r="F7" s="2">
        <f t="shared" si="2"/>
        <v>1</v>
      </c>
    </row>
    <row r="8" spans="1:6" x14ac:dyDescent="0.3">
      <c r="A8" s="1" t="s">
        <v>5</v>
      </c>
      <c r="B8">
        <v>0</v>
      </c>
      <c r="C8">
        <v>78</v>
      </c>
      <c r="D8">
        <f t="shared" si="3"/>
        <v>78</v>
      </c>
      <c r="E8" s="2">
        <f t="shared" si="1"/>
        <v>1</v>
      </c>
      <c r="F8" s="2">
        <f t="shared" si="2"/>
        <v>0</v>
      </c>
    </row>
    <row r="9" spans="1:6" x14ac:dyDescent="0.3">
      <c r="A9" s="1" t="s">
        <v>16</v>
      </c>
      <c r="B9">
        <v>0</v>
      </c>
      <c r="C9">
        <v>500</v>
      </c>
      <c r="D9">
        <f t="shared" si="3"/>
        <v>500</v>
      </c>
      <c r="E9" s="2">
        <f t="shared" si="1"/>
        <v>1</v>
      </c>
      <c r="F9" s="2">
        <f t="shared" si="2"/>
        <v>0</v>
      </c>
    </row>
    <row r="10" spans="1:6" x14ac:dyDescent="0.3">
      <c r="A10" s="1" t="s">
        <v>6</v>
      </c>
      <c r="B10">
        <v>499</v>
      </c>
      <c r="C10">
        <v>0</v>
      </c>
      <c r="D10">
        <f t="shared" si="3"/>
        <v>499</v>
      </c>
      <c r="E10" s="2">
        <f t="shared" si="1"/>
        <v>0</v>
      </c>
      <c r="F10" s="2">
        <f t="shared" si="2"/>
        <v>1</v>
      </c>
    </row>
    <row r="11" spans="1:6" x14ac:dyDescent="0.3">
      <c r="A11" s="1" t="s">
        <v>17</v>
      </c>
      <c r="B11">
        <v>80</v>
      </c>
      <c r="C11">
        <v>0</v>
      </c>
      <c r="D11">
        <f t="shared" si="3"/>
        <v>80</v>
      </c>
      <c r="E11" s="2">
        <f t="shared" si="1"/>
        <v>0</v>
      </c>
      <c r="F11" s="2">
        <f t="shared" si="2"/>
        <v>1</v>
      </c>
    </row>
    <row r="12" spans="1:6" x14ac:dyDescent="0.3">
      <c r="A12" s="1" t="s">
        <v>18</v>
      </c>
      <c r="B12">
        <v>637</v>
      </c>
      <c r="C12">
        <v>0</v>
      </c>
      <c r="D12">
        <f t="shared" si="3"/>
        <v>637</v>
      </c>
      <c r="E12" s="2">
        <f t="shared" si="1"/>
        <v>0</v>
      </c>
      <c r="F12" s="2">
        <f t="shared" si="2"/>
        <v>1</v>
      </c>
    </row>
    <row r="13" spans="1:6" x14ac:dyDescent="0.3">
      <c r="A13" s="1" t="s">
        <v>19</v>
      </c>
      <c r="B13">
        <v>0</v>
      </c>
      <c r="C13">
        <v>400</v>
      </c>
      <c r="D13">
        <f t="shared" si="3"/>
        <v>400</v>
      </c>
      <c r="E13" s="2">
        <f t="shared" si="1"/>
        <v>1</v>
      </c>
      <c r="F13" s="2">
        <f t="shared" si="2"/>
        <v>0</v>
      </c>
    </row>
    <row r="14" spans="1:6" x14ac:dyDescent="0.3">
      <c r="A14" s="1" t="s">
        <v>7</v>
      </c>
      <c r="B14">
        <v>536</v>
      </c>
      <c r="C14">
        <v>12</v>
      </c>
      <c r="D14">
        <f t="shared" si="3"/>
        <v>548</v>
      </c>
      <c r="E14" s="2">
        <f t="shared" si="1"/>
        <v>2.1897810218978103E-2</v>
      </c>
      <c r="F14" s="2">
        <f t="shared" si="2"/>
        <v>0.97810218978102192</v>
      </c>
    </row>
    <row r="15" spans="1:6" x14ac:dyDescent="0.3">
      <c r="A15" s="1" t="s">
        <v>8</v>
      </c>
      <c r="B15">
        <v>100</v>
      </c>
      <c r="C15">
        <v>50</v>
      </c>
      <c r="D15">
        <f t="shared" si="3"/>
        <v>150</v>
      </c>
      <c r="E15" s="2">
        <f t="shared" si="1"/>
        <v>0.33333333333333331</v>
      </c>
      <c r="F15" s="2">
        <f t="shared" si="2"/>
        <v>0.66666666666666663</v>
      </c>
    </row>
    <row r="16" spans="1:6" x14ac:dyDescent="0.3">
      <c r="A16" s="1" t="s">
        <v>9</v>
      </c>
      <c r="B16">
        <v>100</v>
      </c>
      <c r="C16">
        <v>50</v>
      </c>
      <c r="D16">
        <f t="shared" si="3"/>
        <v>150</v>
      </c>
      <c r="E16" s="2">
        <f t="shared" si="1"/>
        <v>0.33333333333333331</v>
      </c>
      <c r="F16" s="2">
        <f t="shared" si="2"/>
        <v>0.66666666666666663</v>
      </c>
    </row>
    <row r="17" spans="1:6" x14ac:dyDescent="0.3">
      <c r="A17" s="1" t="s">
        <v>10</v>
      </c>
      <c r="B17">
        <v>100</v>
      </c>
      <c r="C17">
        <v>50</v>
      </c>
      <c r="D17">
        <f t="shared" si="3"/>
        <v>150</v>
      </c>
      <c r="E17" s="2">
        <f t="shared" si="1"/>
        <v>0.33333333333333331</v>
      </c>
      <c r="F17" s="2">
        <f t="shared" si="2"/>
        <v>0.66666666666666663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74D64-8CFE-41E6-86AC-89D49A6C786C}">
  <dimension ref="A1"/>
  <sheetViews>
    <sheetView tabSelected="1" topLeftCell="A4" workbookViewId="0">
      <selection activeCell="F30" sqref="F30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42FAD0-3A04-44C2-B4FF-9A78DDA7C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Criteria Up-To-Date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Young</dc:creator>
  <cp:lastModifiedBy>Katy Ekey</cp:lastModifiedBy>
  <dcterms:created xsi:type="dcterms:W3CDTF">2021-07-07T02:02:50Z</dcterms:created>
  <dcterms:modified xsi:type="dcterms:W3CDTF">2025-07-02T18:30:01Z</dcterms:modified>
</cp:coreProperties>
</file>