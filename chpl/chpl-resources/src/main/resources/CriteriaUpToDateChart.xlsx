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83759BFF-2A0C-4FD4-9E71-39D3ECA64434}" xr6:coauthVersionLast="47" xr6:coauthVersionMax="47" xr10:uidLastSave="{00000000-0000-0000-0000-000000000000}"/>
  <bookViews>
    <workbookView xWindow="384" yWindow="348" windowWidth="22548" windowHeight="11676" xr2:uid="{00000000-000D-0000-FFFF-FFFF00000000}"/>
  </bookViews>
  <sheets>
    <sheet name="Criteria Up-To-Date Chart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6" i="13" l="1"/>
  <c r="AF16" i="13" s="1"/>
  <c r="AD15" i="13"/>
  <c r="AF15" i="13" s="1"/>
  <c r="AD14" i="13"/>
  <c r="AF14" i="13" s="1"/>
  <c r="AD13" i="13"/>
  <c r="AF13" i="13" s="1"/>
  <c r="AD12" i="13"/>
  <c r="AE12" i="13" s="1"/>
  <c r="AE11" i="13"/>
  <c r="AD11" i="13"/>
  <c r="AF11" i="13" s="1"/>
  <c r="AD10" i="13"/>
  <c r="AF10" i="13" s="1"/>
  <c r="AD9" i="13"/>
  <c r="AF9" i="13" s="1"/>
  <c r="AF8" i="13"/>
  <c r="AD8" i="13"/>
  <c r="AE8" i="13" s="1"/>
  <c r="AE7" i="13"/>
  <c r="AD7" i="13"/>
  <c r="AF7" i="13" s="1"/>
  <c r="AD6" i="13"/>
  <c r="AF6" i="13" s="1"/>
  <c r="AD5" i="13"/>
  <c r="AF5" i="13" s="1"/>
  <c r="AF4" i="13"/>
  <c r="AE4" i="13"/>
  <c r="AD3" i="13"/>
  <c r="AF3" i="13" s="1"/>
  <c r="AD2" i="13"/>
  <c r="AF2" i="13" s="1"/>
  <c r="AE15" i="13" l="1"/>
  <c r="AE16" i="13"/>
  <c r="AF12" i="13"/>
  <c r="AE14" i="13"/>
  <c r="AE3" i="13"/>
  <c r="AE6" i="13"/>
  <c r="AE9" i="13"/>
  <c r="AE10" i="13"/>
  <c r="AE2" i="13"/>
  <c r="AE5" i="13"/>
  <c r="AE13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<sst xmlns="http://schemas.openxmlformats.org/spreadsheetml/2006/main" count="21" uniqueCount="21">
  <si>
    <t>Criteria</t>
  </si>
  <si>
    <t>Requires Update</t>
  </si>
  <si>
    <t>b1</t>
  </si>
  <si>
    <t>b2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</si>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</sst>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'Criteria Up-To-Date Chart'!$AC$1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Chart'!$AC$2:$AC$16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12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ser>
          <c:idx val="0"/>
          <c:order val="1"/>
          <c:tx>
            <c:strRef>
              <c:f>'Criteria Up-To-Date Chart'!$AB$1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Chart'!$AB$2:$AB$16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0</c:v>
                </c:pt>
                <c:pt idx="11">
                  <c:v>536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'Criteria Up-To-Date Chart'!$AE$1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Chart'!$AE$2:$AE$16</c:f>
              <c:numCache>
                <c:formatCode>0.00%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2.1897810218978103E-2</c:v>
                </c:pt>
                <c:pt idx="12">
                  <c:v>0.33333333333333331</c:v>
                </c:pt>
                <c:pt idx="13">
                  <c:v>0.33333333333333331</c:v>
                </c:pt>
                <c:pt idx="14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'Criteria Up-To-Date Chart'!$AF$1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Chart'!$AF$2:$AF$16</c:f>
              <c:numCache>
                <c:formatCode>0.00%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0.97810218978102192</c:v>
                </c:pt>
                <c:pt idx="12">
                  <c:v>0.66666666666666663</c:v>
                </c:pt>
                <c:pt idx="13">
                  <c:v>0.66666666666666663</c:v>
                </c:pt>
                <c:pt idx="14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'Criteria Up-To-Date Chart'!$AD$1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Chart'!$AD$2:$AD$16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546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400</c:v>
                </c:pt>
                <c:pt idx="11">
                  <c:v>548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A1:AF16"/>
  <sheetViews>
    <sheetView tabSelected="1" workbookViewId="0">
      <selection activeCell="AB1" sqref="AB1"/>
    </sheetView>
  </sheetViews>
  <sheetFormatPr defaultRowHeight="14.4" x14ac:dyDescent="0.3"/>
  <cols>
    <col min="27" max="27" width="7" bestFit="1" customWidth="1"/>
    <col min="28" max="28" width="14.5546875" bestFit="1" customWidth="1"/>
    <col min="29" max="29" width="14.88671875" bestFit="1" customWidth="1"/>
    <col min="30" max="30" width="20" bestFit="1" customWidth="1"/>
    <col min="31" max="31" width="9.88671875" bestFit="1" customWidth="1"/>
    <col min="32" max="32" width="11.33203125" bestFit="1" customWidth="1"/>
  </cols>
  <sheetData>
    <row r="1" spans="27:32" x14ac:dyDescent="0.3">
      <c r="AA1" s="1" t="s">
        <v>0</v>
      </c>
      <c r="AB1" t="s">
        <v>1</v>
      </c>
      <c r="AC1" t="s">
        <v>11</v>
      </c>
      <c r="AD1" t="s">
        <v>10</v>
      </c>
      <c r="AE1" t="s">
        <v>19</v>
      </c>
      <c r="AF1" t="s">
        <v>20</v>
      </c>
    </row>
    <row r="2" spans="27:32" x14ac:dyDescent="0.3">
      <c r="AA2" s="1" t="s">
        <v>12</v>
      </c>
      <c r="AB2">
        <v>0</v>
      </c>
      <c r="AC2">
        <v>100</v>
      </c>
      <c r="AD2">
        <f t="shared" ref="AD2:AD3" si="0">AB2+AC2</f>
        <v>100</v>
      </c>
      <c r="AE2" s="2">
        <f>IF(AD2 &gt; 0, (AC2/AD2), 1)</f>
        <v>1</v>
      </c>
      <c r="AF2" s="2">
        <f>IF(AD2 &gt; 0, AB2/AD2, 0)</f>
        <v>0</v>
      </c>
    </row>
    <row r="3" spans="27:32" x14ac:dyDescent="0.3">
      <c r="AA3" s="1" t="s">
        <v>13</v>
      </c>
      <c r="AB3">
        <v>0</v>
      </c>
      <c r="AC3">
        <v>100</v>
      </c>
      <c r="AD3">
        <f t="shared" si="0"/>
        <v>100</v>
      </c>
      <c r="AE3" s="2">
        <f>IF(AD3 &gt; 0, (AC3/AD3), 1)</f>
        <v>1</v>
      </c>
      <c r="AF3" s="2">
        <f>IF(AD3 &gt; 0, AB3/AD3, 0)</f>
        <v>0</v>
      </c>
    </row>
    <row r="4" spans="27:32" x14ac:dyDescent="0.3">
      <c r="AA4" s="1" t="s">
        <v>14</v>
      </c>
      <c r="AB4">
        <v>0</v>
      </c>
      <c r="AC4">
        <v>0</v>
      </c>
      <c r="AD4">
        <v>0</v>
      </c>
      <c r="AE4" s="2">
        <f>IF(AD4 &gt; 0, (AC4/AD4), 1)</f>
        <v>1</v>
      </c>
      <c r="AF4" s="2">
        <f>IF(AD4 &gt; 0, AB4/AD4, 0)</f>
        <v>0</v>
      </c>
    </row>
    <row r="5" spans="27:32" x14ac:dyDescent="0.3">
      <c r="AA5" s="1" t="s">
        <v>2</v>
      </c>
      <c r="AB5">
        <v>546</v>
      </c>
      <c r="AC5">
        <v>0</v>
      </c>
      <c r="AD5">
        <f>AB5+AC5</f>
        <v>546</v>
      </c>
      <c r="AE5" s="2">
        <f>IF(AD5 &gt; 0, (AC5/AD5), 1)</f>
        <v>0</v>
      </c>
      <c r="AF5" s="2">
        <f t="shared" ref="AF5:AF16" si="1">IF(AD5 &gt; 0, AB5/AD5, 0)</f>
        <v>1</v>
      </c>
    </row>
    <row r="6" spans="27:32" x14ac:dyDescent="0.3">
      <c r="AA6" s="1" t="s">
        <v>3</v>
      </c>
      <c r="AB6">
        <v>0</v>
      </c>
      <c r="AC6">
        <v>527</v>
      </c>
      <c r="AD6">
        <f t="shared" ref="AD6:AD16" si="2">AB6+AC6</f>
        <v>527</v>
      </c>
      <c r="AE6" s="2">
        <f t="shared" ref="AE6:AE16" si="3">IF(AD6 &gt; 0, (AC6/AD6), 1)</f>
        <v>1</v>
      </c>
      <c r="AF6" s="2">
        <f t="shared" si="1"/>
        <v>0</v>
      </c>
    </row>
    <row r="7" spans="27:32" x14ac:dyDescent="0.3">
      <c r="AA7" s="1" t="s">
        <v>4</v>
      </c>
      <c r="AB7">
        <v>0</v>
      </c>
      <c r="AC7">
        <v>78</v>
      </c>
      <c r="AD7">
        <f t="shared" si="2"/>
        <v>78</v>
      </c>
      <c r="AE7" s="2">
        <f t="shared" si="3"/>
        <v>1</v>
      </c>
      <c r="AF7" s="2">
        <f t="shared" si="1"/>
        <v>0</v>
      </c>
    </row>
    <row r="8" spans="27:32" x14ac:dyDescent="0.3">
      <c r="AA8" s="1" t="s">
        <v>15</v>
      </c>
      <c r="AB8">
        <v>0</v>
      </c>
      <c r="AC8">
        <v>500</v>
      </c>
      <c r="AD8">
        <f t="shared" si="2"/>
        <v>500</v>
      </c>
      <c r="AE8" s="2">
        <f t="shared" si="3"/>
        <v>1</v>
      </c>
      <c r="AF8" s="2">
        <f t="shared" si="1"/>
        <v>0</v>
      </c>
    </row>
    <row r="9" spans="27:32" x14ac:dyDescent="0.3">
      <c r="AA9" s="1" t="s">
        <v>5</v>
      </c>
      <c r="AB9">
        <v>499</v>
      </c>
      <c r="AC9">
        <v>0</v>
      </c>
      <c r="AD9">
        <f t="shared" si="2"/>
        <v>499</v>
      </c>
      <c r="AE9" s="2">
        <f t="shared" si="3"/>
        <v>0</v>
      </c>
      <c r="AF9" s="2">
        <f t="shared" si="1"/>
        <v>1</v>
      </c>
    </row>
    <row r="10" spans="27:32" x14ac:dyDescent="0.3">
      <c r="AA10" s="1" t="s">
        <v>16</v>
      </c>
      <c r="AB10">
        <v>80</v>
      </c>
      <c r="AC10">
        <v>0</v>
      </c>
      <c r="AD10">
        <f t="shared" si="2"/>
        <v>80</v>
      </c>
      <c r="AE10" s="2">
        <f t="shared" si="3"/>
        <v>0</v>
      </c>
      <c r="AF10" s="2">
        <f t="shared" si="1"/>
        <v>1</v>
      </c>
    </row>
    <row r="11" spans="27:32" x14ac:dyDescent="0.3">
      <c r="AA11" s="1" t="s">
        <v>17</v>
      </c>
      <c r="AB11">
        <v>637</v>
      </c>
      <c r="AC11">
        <v>0</v>
      </c>
      <c r="AD11">
        <f t="shared" si="2"/>
        <v>637</v>
      </c>
      <c r="AE11" s="2">
        <f t="shared" si="3"/>
        <v>0</v>
      </c>
      <c r="AF11" s="2">
        <f t="shared" si="1"/>
        <v>1</v>
      </c>
    </row>
    <row r="12" spans="27:32" x14ac:dyDescent="0.3">
      <c r="AA12" s="1" t="s">
        <v>18</v>
      </c>
      <c r="AB12">
        <v>0</v>
      </c>
      <c r="AC12">
        <v>400</v>
      </c>
      <c r="AD12">
        <f t="shared" si="2"/>
        <v>400</v>
      </c>
      <c r="AE12" s="2">
        <f t="shared" si="3"/>
        <v>1</v>
      </c>
      <c r="AF12" s="2">
        <f t="shared" si="1"/>
        <v>0</v>
      </c>
    </row>
    <row r="13" spans="27:32" x14ac:dyDescent="0.3">
      <c r="AA13" s="1" t="s">
        <v>6</v>
      </c>
      <c r="AB13">
        <v>536</v>
      </c>
      <c r="AC13">
        <v>12</v>
      </c>
      <c r="AD13">
        <f t="shared" si="2"/>
        <v>548</v>
      </c>
      <c r="AE13" s="2">
        <f t="shared" si="3"/>
        <v>2.1897810218978103E-2</v>
      </c>
      <c r="AF13" s="2">
        <f t="shared" si="1"/>
        <v>0.97810218978102192</v>
      </c>
    </row>
    <row r="14" spans="27:32" x14ac:dyDescent="0.3">
      <c r="AA14" s="1" t="s">
        <v>7</v>
      </c>
      <c r="AB14">
        <v>100</v>
      </c>
      <c r="AC14">
        <v>50</v>
      </c>
      <c r="AD14">
        <f t="shared" si="2"/>
        <v>150</v>
      </c>
      <c r="AE14" s="2">
        <f t="shared" si="3"/>
        <v>0.33333333333333331</v>
      </c>
      <c r="AF14" s="2">
        <f t="shared" si="1"/>
        <v>0.66666666666666663</v>
      </c>
    </row>
    <row r="15" spans="27:32" x14ac:dyDescent="0.3">
      <c r="AA15" s="1" t="s">
        <v>8</v>
      </c>
      <c r="AB15">
        <v>100</v>
      </c>
      <c r="AC15">
        <v>50</v>
      </c>
      <c r="AD15">
        <f t="shared" si="2"/>
        <v>150</v>
      </c>
      <c r="AE15" s="2">
        <f t="shared" si="3"/>
        <v>0.33333333333333331</v>
      </c>
      <c r="AF15" s="2">
        <f t="shared" si="1"/>
        <v>0.66666666666666663</v>
      </c>
    </row>
    <row r="16" spans="27:32" x14ac:dyDescent="0.3">
      <c r="AA16" s="1" t="s">
        <v>9</v>
      </c>
      <c r="AB16">
        <v>100</v>
      </c>
      <c r="AC16">
        <v>50</v>
      </c>
      <c r="AD16">
        <f t="shared" si="2"/>
        <v>150</v>
      </c>
      <c r="AE16" s="2">
        <f t="shared" si="3"/>
        <v>0.33333333333333331</v>
      </c>
      <c r="AF16" s="2">
        <f t="shared" si="1"/>
        <v>0.66666666666666663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2025-11-17T22:06:39Z</dcterms:modified>
</cp:coreProperties>
</file>